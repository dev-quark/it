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674007166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рплата" sheetId="1" r:id="Rca11b611c52e4a86"/>
    <x:sheet xmlns:r="http://schemas.openxmlformats.org/officeDocument/2006/relationships" name="Товары" sheetId="2" r:id="R03092e2018ba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 &quot;₽&quot;"/>
    <x:numFmt numFmtId="201" formatCode="0"/>
    <x:numFmt numFmtId="202" formatCode="0%"/>
    <x:numFmt numFmtId="203" formatCode="0.0"/>
    <x:numFmt numFmtId="204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8">
    <x:border/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7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6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0e224e3f148e8" /><Relationship Type="http://schemas.openxmlformats.org/officeDocument/2006/relationships/theme" Target="/xl/theme/theme1.xml" Id="Rf2a3f3c494224b04" /><Relationship Type="http://schemas.openxmlformats.org/officeDocument/2006/relationships/sharedStrings" Target="/xl/sharedStrings.xml" Id="R791a27fca4834ff6" /><Relationship Type="http://schemas.openxmlformats.org/officeDocument/2006/relationships/worksheet" Target="/xl/worksheets/sheet1.xml" Id="Rca11b611c52e4a86" /><Relationship Type="http://schemas.openxmlformats.org/officeDocument/2006/relationships/worksheet" Target="/xl/worksheets/sheet2.xml" Id="R03092e2018ba4a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3" hidden="0" customWidth="1"/>
    <x:col min="4" max="4" width="16" hidden="0" customWidth="1"/>
    <x:col min="5" max="5" width="15" hidden="0" customWidth="1"/>
    <x:col min="6" max="6" width="16" hidden="0" customWidth="1"/>
    <x:col min="7" max="7" width="9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</x:cols>
  <x:sheetData>
    <x:row r="1">
      <x:c r="A1" s="12" t="str">
        <x:v>ФИО сотрудника</x:v>
      </x:c>
      <x:c r="B1" s="13" t="str">
        <x:v>Оклад (руб.)</x:v>
      </x:c>
      <x:c r="C1" s="13" t="str">
        <x:v>Премия (%)</x:v>
      </x:c>
      <x:c r="D1" s="13" t="str">
        <x:v>Премия (руб.)</x:v>
      </x:c>
      <x:c r="E1" s="13" t="str">
        <x:v>НДФЛ</x:v>
      </x:c>
      <x:c r="F1" s="13" t="str">
        <x:v>К выдаче</x:v>
      </x:c>
      <x:c r="G1" s="14" t="str">
        <x:v>№ п/п</x:v>
      </x:c>
      <x:c r="H1" t="str">
        <x:v>Ставка НДФЛ:</x:v>
      </x:c>
      <x:c r="I1" t="str">
        <x:v>Коэффициент:</x:v>
      </x:c>
      <x:c r="J1" t="str">
        <x:v>Абсолютная ссылка</x:v>
      </x:c>
      <x:c r="K1" t="str">
        <x:v>Смешанная ссылка</x:v>
      </x:c>
    </x:row>
    <x:row r="2">
      <x:c r="A2" s="29" t="str">
        <x:v>Иванов И.И.</x:v>
      </x:c>
      <x:c r="B2" s="41" t="n">
        <x:v>50000</x:v>
      </x:c>
      <x:c r="C2" s="45" t="n">
        <x:v>20</x:v>
      </x:c>
      <x:c r="D2" s="41" t="n">
        <x:f>B2*C2/100</x:f>
        <x:v>10000</x:v>
      </x:c>
      <x:c r="E2" s="41" t="n">
        <x:f>(B2+D2)*$H$2</x:f>
        <x:v>9000</x:v>
      </x:c>
      <x:c r="F2" s="41" t="n">
        <x:f>B2+D2-E2</x:f>
        <x:v>51000</x:v>
      </x:c>
      <x:c r="G2" s="31" t="n">
        <x:v>1</x:v>
      </x:c>
      <x:c r="H2" s="49" t="n">
        <x:v>0.15</x:v>
      </x:c>
      <x:c r="I2" s="51" t="n">
        <x:v>1.5</x:v>
      </x:c>
      <x:c r="J2" s="55" t="n">
        <x:f>B2*$I$2</x:f>
        <x:v>75000</x:v>
      </x:c>
      <x:c r="K2" s="55" t="n">
        <x:f>B2*I$2</x:f>
        <x:v>75000</x:v>
      </x:c>
    </x:row>
    <x:row r="3">
      <x:c r="A3" s="29" t="str">
        <x:v>Петров П.П.</x:v>
      </x:c>
      <x:c r="B3" s="41" t="n">
        <x:v>45000</x:v>
      </x:c>
      <x:c r="C3" s="45" t="n">
        <x:v>15</x:v>
      </x:c>
      <x:c r="D3" s="41" t="n">
        <x:f>B3*C3/100</x:f>
        <x:v>6750</x:v>
      </x:c>
      <x:c r="E3" s="41" t="n">
        <x:f>(B3+D3)*$H$2</x:f>
        <x:v>7762.5</x:v>
      </x:c>
      <x:c r="F3" s="41" t="n">
        <x:f>B3+D3-E3</x:f>
        <x:v>43987.5</x:v>
      </x:c>
      <x:c r="G3" s="31" t="n">
        <x:v>2</x:v>
      </x:c>
    </x:row>
    <x:row r="4">
      <x:c r="A4" s="29" t="str">
        <x:v>Сидоров С.С.</x:v>
      </x:c>
      <x:c r="B4" s="41" t="n">
        <x:v>62000</x:v>
      </x:c>
      <x:c r="C4" s="45" t="n">
        <x:v>25</x:v>
      </x:c>
      <x:c r="D4" s="41" t="n">
        <x:f>B4*C4/100</x:f>
        <x:v>15500</x:v>
      </x:c>
      <x:c r="E4" s="41" t="n">
        <x:f>(B4+D4)*$H$2</x:f>
        <x:v>11625</x:v>
      </x:c>
      <x:c r="F4" s="41" t="n">
        <x:f>B4+D4-E4</x:f>
        <x:v>65875</x:v>
      </x:c>
      <x:c r="G4" s="31" t="n">
        <x:v>3</x:v>
      </x:c>
      <x:c r="J4"/>
      <x:c r="K4"/>
    </x:row>
    <x:row r="5">
      <x:c r="A5" s="29" t="str">
        <x:v>Кузнецова К.К.</x:v>
      </x:c>
      <x:c r="B5" s="41" t="n">
        <x:v>55000</x:v>
      </x:c>
      <x:c r="C5" s="45" t="n">
        <x:v>10</x:v>
      </x:c>
      <x:c r="D5" s="41" t="n">
        <x:f>B5*C5/100</x:f>
        <x:v>5500</x:v>
      </x:c>
      <x:c r="E5" s="41" t="n">
        <x:f>(B5+D5)*$H$2</x:f>
        <x:v>9075</x:v>
      </x:c>
      <x:c r="F5" s="41" t="n">
        <x:f>B5+D5-E5</x:f>
        <x:v>51425</x:v>
      </x:c>
      <x:c r="G5" s="31" t="n">
        <x:v>4</x:v>
      </x:c>
      <x:c r="J5" s="53"/>
      <x:c r="K5" s="53"/>
    </x:row>
    <x:row r="6">
      <x:c r="A6" s="29" t="str">
        <x:v>Смирнов С.С.</x:v>
      </x:c>
      <x:c r="B6" s="41" t="n">
        <x:v>40000</x:v>
      </x:c>
      <x:c r="C6" s="45" t="n">
        <x:v>30</x:v>
      </x:c>
      <x:c r="D6" s="41" t="n">
        <x:f>B6*C6/100</x:f>
        <x:v>12000</x:v>
      </x:c>
      <x:c r="E6" s="41" t="n">
        <x:f>(B6+D6)*$H$2</x:f>
        <x:v>7800</x:v>
      </x:c>
      <x:c r="F6" s="41" t="n">
        <x:f>B6+D6-E6</x:f>
        <x:v>44200</x:v>
      </x:c>
      <x:c r="G6" s="31" t="n">
        <x:v>5</x:v>
      </x:c>
    </x:row>
    <x:row r="7">
      <x:c r="A7" s="57" t="str">
        <x:v>ИТОГО:</x:v>
      </x:c>
      <x:c r="B7" s="42" t="n">
        <x:f>SUM(B2:B6)</x:f>
        <x:v>252000</x:v>
      </x:c>
      <x:c r="C7" s="33"/>
      <x:c r="D7" s="42" t="n">
        <x:f>SUM(D2:D6)</x:f>
        <x:v>49750</x:v>
      </x:c>
      <x:c r="E7" s="42" t="n">
        <x:f>SUM(E2:E6)</x:f>
        <x:v>45262.5</x:v>
      </x:c>
      <x:c r="F7" s="42" t="n">
        <x:f>SUM(F2:F6)</x:f>
        <x:v>256487.5</x:v>
      </x:c>
      <x:c r="G7" s="34"/>
    </x:row>
    <x:row r="9">
      <x:c r="A9" s="59" t="str">
        <x:v>Средняя зарплата:</x:v>
      </x:c>
      <x:c r="B9" s="55" t="n">
        <x:f>AVERAGE(F2:F6)</x:f>
        <x:v>51297.5</x:v>
      </x:c>
    </x:row>
    <x:row r="10">
      <x:c r="A10" s="59" t="str">
        <x:v>Максимум:</x:v>
      </x:c>
      <x:c r="B10" s="55" t="n">
        <x:f>MAX(F2:F6)</x:f>
        <x:v>65875</x:v>
      </x:c>
    </x:row>
    <x:row r="11">
      <x:c r="A11" s="59" t="str">
        <x:v>Минимум:</x:v>
      </x:c>
      <x:c r="B11" s="55" t="n">
        <x:f>MIN(F2:F6)</x:f>
        <x:v>43987.5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12" hidden="0" customWidth="1"/>
    <x:col min="5" max="5" width="16" hidden="0" customWidth="1"/>
    <x:col min="6" max="6" width="20" hidden="0" customWidth="1"/>
    <x:col min="7" max="7" width="15" hidden="0" customWidth="1"/>
    <x:col min="8" max="8" width="12" hidden="0" customWidth="1"/>
  </x:cols>
  <x:sheetData>
    <x:row r="1">
      <x:c r="A1" s="12" t="str">
        <x:v>Товар</x:v>
      </x:c>
      <x:c r="B1" s="13" t="str">
        <x:v>Цена за ед.</x:v>
      </x:c>
      <x:c r="C1" s="13" t="str">
        <x:v>Кол-во</x:v>
      </x:c>
      <x:c r="D1" s="13" t="str">
        <x:v>Скидка %</x:v>
      </x:c>
      <x:c r="E1" s="13" t="str">
        <x:v>Стоимость</x:v>
      </x:c>
      <x:c r="F1" s="13" t="str">
        <x:v>Итого со скидкой</x:v>
      </x:c>
      <x:c r="G1" s="14" t="str">
        <x:v>НДС</x:v>
      </x:c>
      <x:c r="H1" t="str">
        <x:v>Ставка НДС</x:v>
      </x:c>
    </x:row>
    <x:row r="2">
      <x:c r="A2" s="29" t="str">
        <x:v>Ноутбук</x:v>
      </x:c>
      <x:c r="B2" s="41" t="n">
        <x:v>45000</x:v>
      </x:c>
      <x:c r="C2" s="45" t="n">
        <x:v>5</x:v>
      </x:c>
      <x:c r="D2" s="45" t="n">
        <x:v>5</x:v>
      </x:c>
      <x:c r="E2" s="41" t="n">
        <x:f>B2*C2</x:f>
        <x:v>225000</x:v>
      </x:c>
      <x:c r="F2" s="41" t="n">
        <x:f>E2*(1-D2/100)</x:f>
        <x:v>213750</x:v>
      </x:c>
      <x:c r="G2" s="61" t="n">
        <x:f>E2*$H$2</x:f>
        <x:v>45000</x:v>
      </x:c>
      <x:c r="H2" s="49" t="n">
        <x:v>0.2</x:v>
      </x:c>
    </x:row>
    <x:row r="3">
      <x:c r="A3" s="29" t="str">
        <x:v>Монитор</x:v>
      </x:c>
      <x:c r="B3" s="41" t="n">
        <x:v>18000</x:v>
      </x:c>
      <x:c r="C3" s="45" t="n">
        <x:v>10</x:v>
      </x:c>
      <x:c r="D3" s="45" t="n">
        <x:v>3</x:v>
      </x:c>
      <x:c r="E3" s="41" t="n">
        <x:f>B3*C3</x:f>
        <x:v>180000</x:v>
      </x:c>
      <x:c r="F3" s="41" t="n">
        <x:f>E3*(1-D3/100)</x:f>
        <x:v>174600</x:v>
      </x:c>
      <x:c r="G3" s="61" t="n">
        <x:f>E3*$H$2</x:f>
        <x:v>36000</x:v>
      </x:c>
    </x:row>
    <x:row r="4">
      <x:c r="A4" s="29" t="str">
        <x:v>Клавиатура</x:v>
      </x:c>
      <x:c r="B4" s="41" t="n">
        <x:v>1500</x:v>
      </x:c>
      <x:c r="C4" s="45" t="n">
        <x:v>25</x:v>
      </x:c>
      <x:c r="D4" s="45" t="n">
        <x:v>10</x:v>
      </x:c>
      <x:c r="E4" s="41" t="n">
        <x:f>B4*C4</x:f>
        <x:v>37500</x:v>
      </x:c>
      <x:c r="F4" s="41" t="n">
        <x:f>E4*(1-D4/100)</x:f>
        <x:v>33750</x:v>
      </x:c>
      <x:c r="G4" s="61" t="n">
        <x:f>E4*$H$2</x:f>
        <x:v>7500</x:v>
      </x:c>
    </x:row>
    <x:row r="5">
      <x:c r="A5" s="29" t="str">
        <x:v>Мышь</x:v>
      </x:c>
      <x:c r="B5" s="41" t="n">
        <x:v>800</x:v>
      </x:c>
      <x:c r="C5" s="45" t="n">
        <x:v>30</x:v>
      </x:c>
      <x:c r="D5" s="45" t="n">
        <x:v>7</x:v>
      </x:c>
      <x:c r="E5" s="41" t="n">
        <x:f>B5*C5</x:f>
        <x:v>24000</x:v>
      </x:c>
      <x:c r="F5" s="41" t="n">
        <x:f>E5*(1-D5/100)</x:f>
        <x:v>22320</x:v>
      </x:c>
      <x:c r="G5" s="61" t="n">
        <x:f>E5*$H$2</x:f>
        <x:v>4800</x:v>
      </x:c>
    </x:row>
    <x:row r="6">
      <x:c r="A6" s="57" t="str">
        <x:v>ИТОГО:</x:v>
      </x:c>
      <x:c r="B6" s="33"/>
      <x:c r="C6" s="33"/>
      <x:c r="D6" s="33"/>
      <x:c r="E6" s="33"/>
      <x:c r="F6" s="42" t="n">
        <x:f>SUM(F2:F5)</x:f>
        <x:v>444420</x:v>
      </x:c>
      <x:c r="G6" s="34"/>
    </x:row>
  </x:sheetData>
  <x:pageMargins left="0.7" right="0.7" top="0.75" bottom="0.75" header="0.3" footer="0.3"/>
</x:worksheet>
</file>