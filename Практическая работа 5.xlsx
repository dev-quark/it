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b3683388a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ематика" sheetId="1" r:id="R14b381eef8474d4d"/>
    <x:sheet xmlns:r="http://schemas.openxmlformats.org/officeDocument/2006/relationships" name="Расчет кредита" sheetId="2" r:id="Rb0079a05af06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"/>
    <x:numFmt numFmtId="203" formatCode="0.000"/>
    <x:numFmt numFmtId="204" formatCode="0°"/>
    <x:numFmt numFmtId="205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0461e7eaa4246" /><Relationship Type="http://schemas.openxmlformats.org/officeDocument/2006/relationships/theme" Target="/xl/theme/theme1.xml" Id="R99cf012762514eeb" /><Relationship Type="http://schemas.openxmlformats.org/officeDocument/2006/relationships/sharedStrings" Target="/xl/sharedStrings.xml" Id="Rc23b90e852df4dd9" /><Relationship Type="http://schemas.openxmlformats.org/officeDocument/2006/relationships/worksheet" Target="/xl/worksheets/sheet1.xml" Id="R14b381eef8474d4d" /><Relationship Type="http://schemas.openxmlformats.org/officeDocument/2006/relationships/worksheet" Target="/xl/worksheets/sheet2.xml" Id="Rb0079a05af06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18" hidden="0" customWidth="1"/>
    <x:col min="8" max="8" width="11" hidden="0" customWidth="1"/>
    <x:col min="9" max="9" width="12" hidden="0" customWidth="1"/>
    <x:col min="11" max="11" width="8" hidden="0" customWidth="1"/>
    <x:col min="20" max="20" width="14" hidden="0" customWidth="1"/>
    <x:col min="24" max="24" width="16" hidden="0" customWidth="1"/>
    <x:col min="25" max="25" width="10" hidden="0" customWidth="1"/>
    <x:col min="26" max="26" width="21" hidden="0" customWidth="1"/>
    <x:col min="27" max="27" width="14" hidden="0" customWidth="1"/>
  </x:cols>
  <x:sheetData>
    <x:row r="1">
      <x:c r="A1" s="12" t="str">
        <x:v>№ детали</x:v>
      </x:c>
      <x:c r="B1" s="13" t="str">
        <x:v>Радиус R (мм)</x:v>
      </x:c>
      <x:c r="C1" s="13" t="str">
        <x:v>Высота h (мм)</x:v>
      </x:c>
      <x:c r="D1" s="13" t="str">
        <x:v>Масса m (кг)</x:v>
      </x:c>
      <x:c r="E1" s="13" t="str">
        <x:v>Длина L (мм)</x:v>
      </x:c>
      <x:c r="F1" s="13" t="str">
        <x:v>Диаметр (мм)</x:v>
      </x:c>
      <x:c r="G1" s="13" t="str">
        <x:v>Объем (мм³)</x:v>
      </x:c>
      <x:c r="H1" s="13" t="str">
        <x:v>√V</x:v>
      </x:c>
      <x:c r="I1" s="14" t="str">
        <x:v>|m − 3|</x:v>
      </x:c>
      <x:c r="K1" t="n">
        <x:v>3</x:v>
      </x:c>
      <x:c r="T1" t="n">
        <x:v>100000</x:v>
      </x:c>
      <x:c r="X1" t="str">
        <x:v>Длина дуги</x:v>
      </x:c>
      <x:c r="Y1" t="n">
        <x:v>60</x:v>
      </x:c>
      <x:c r="Z1" t="str">
        <x:v>Дуга через РАДИАНЫ</x:v>
      </x:c>
      <x:c r="AA1" s="63" t="n">
        <x:f>SUM(D2:D8)</x:f>
        <x:v>21.799999999999997</x:v>
      </x:c>
    </x:row>
    <x:row r="2">
      <x:c r="A2" s="41" t="n">
        <x:v>1</x:v>
      </x:c>
      <x:c r="B2" s="53" t="n">
        <x:v>12.5</x:v>
      </x:c>
      <x:c r="C2" s="53" t="n">
        <x:v>30</x:v>
      </x:c>
      <x:c r="D2" s="53" t="n">
        <x:v>2.4</x:v>
      </x:c>
      <x:c r="E2" s="53" t="n">
        <x:v>145</x:v>
      </x:c>
      <x:c r="F2" s="53" t="n">
        <x:f>2*B2</x:f>
        <x:v>25</x:v>
      </x:c>
      <x:c r="G2" s="53" t="n">
        <x:f>PI()*POWER(B2,2)*C2</x:f>
        <x:v>14726.215563702155</x:v>
      </x:c>
      <x:c r="H2" s="53" t="n">
        <x:f>SQRT(G2)</x:f>
        <x:v>121.3516195347312</x:v>
      </x:c>
      <x:c r="I2" s="54" t="n">
        <x:f>ABS(D2-$K$1)</x:f>
        <x:v>0.6000000000000001</x:v>
      </x:c>
      <x:c r="T2" s="61" t="n">
        <x:v>0.12</x:v>
      </x:c>
      <x:c r="X2" s="67" t="n">
        <x:f>PI()*B2*$Y$1/180</x:f>
        <x:v>13.08996938995747</x:v>
      </x:c>
      <x:c r="Z2" s="67" t="n">
        <x:f>B2*RADIANS($Y$1)</x:f>
        <x:v>13.08996938995747</x:v>
      </x:c>
      <x:c r="AA2" s="63" t="n">
        <x:f>SUMIF(D2:D8,"&gt;2")</x:f>
        <x:v>18.1</x:v>
      </x:c>
    </x:row>
    <x:row r="3">
      <x:c r="A3" s="41" t="n">
        <x:v>2</x:v>
      </x:c>
      <x:c r="B3" s="53" t="n">
        <x:v>8.3</x:v>
      </x:c>
      <x:c r="C3" s="53" t="n">
        <x:v>25</x:v>
      </x:c>
      <x:c r="D3" s="53" t="n">
        <x:v>1.1</x:v>
      </x:c>
      <x:c r="E3" s="53" t="n">
        <x:v>98</x:v>
      </x:c>
      <x:c r="F3" s="53" t="n">
        <x:f>2*B3</x:f>
        <x:v>16.6</x:v>
      </x:c>
      <x:c r="G3" s="53" t="n">
        <x:f>PI()*POWER(B3,2)*C3</x:f>
        <x:v>5410.607947645022</x:v>
      </x:c>
      <x:c r="H3" s="53" t="n">
        <x:f>SQRT(G3)</x:f>
        <x:v>73.55683481257893</x:v>
      </x:c>
      <x:c r="I3" s="54" t="n">
        <x:f>ABS(D3-$K$1)</x:f>
        <x:v>1.9</x:v>
      </x:c>
      <x:c r="T3" t="n">
        <x:v>5</x:v>
      </x:c>
      <x:c r="X3" s="67" t="n">
        <x:f>PI()*B3*$Y$1/180</x:f>
        <x:v>8.691739674931762</x:v>
      </x:c>
      <x:c r="Z3" s="67" t="n">
        <x:f>B3*RADIANS($Y$1)</x:f>
        <x:v>8.69173967493176</x:v>
      </x:c>
      <x:c r="AA3" s="63" t="n">
        <x:f>SUMPRODUCT(D2:D8,E2:E8)/SUM(E2:E8)</x:f>
        <x:v>4.074461292897047</x:v>
      </x:c>
    </x:row>
    <x:row r="4">
      <x:c r="A4" s="41" t="n">
        <x:v>3</x:v>
      </x:c>
      <x:c r="B4" s="53" t="n">
        <x:v>15.7</x:v>
      </x:c>
      <x:c r="C4" s="53" t="n">
        <x:v>40</x:v>
      </x:c>
      <x:c r="D4" s="53" t="n">
        <x:v>4</x:v>
      </x:c>
      <x:c r="E4" s="53" t="n">
        <x:v>210</x:v>
      </x:c>
      <x:c r="F4" s="53" t="n">
        <x:f>2*B4</x:f>
        <x:v>31.4</x:v>
      </x:c>
      <x:c r="G4" s="53" t="n">
        <x:f>PI()*POWER(B4,2)*C4</x:f>
        <x:v>30974.84692733392</x:v>
      </x:c>
      <x:c r="H4" s="53" t="n">
        <x:f>SQRT(G4)</x:f>
        <x:v>175.99672419489494</x:v>
      </x:c>
      <x:c r="I4" s="54" t="n">
        <x:f>ABS(D4-$K$1)</x:f>
        <x:v>1</x:v>
      </x:c>
      <x:c r="T4" s="63" t="n">
        <x:f>T1*POWER(1+T2,T3)</x:f>
        <x:v>176234.16832000006</x:v>
      </x:c>
      <x:c r="X4" s="67" t="n">
        <x:f>PI()*B4*$Y$1/180</x:f>
        <x:v>16.44100155378658</x:v>
      </x:c>
      <x:c r="Z4" s="67" t="n">
        <x:f>B4*RADIANS($Y$1)</x:f>
        <x:v>16.44100155378658</x:v>
      </x:c>
      <x:c r="AA4" s="71" t="n">
        <x:f>COUNTIF(D2:D8,"&gt;2")</x:f>
        <x:v>4</x:v>
      </x:c>
    </x:row>
    <x:row r="5">
      <x:c r="A5" s="41" t="n">
        <x:v>4</x:v>
      </x:c>
      <x:c r="B5" s="53" t="n">
        <x:v>6.2</x:v>
      </x:c>
      <x:c r="C5" s="53" t="n">
        <x:v>18</x:v>
      </x:c>
      <x:c r="D5" s="53" t="n">
        <x:v>0.7</x:v>
      </x:c>
      <x:c r="E5" s="53" t="n">
        <x:v>75</x:v>
      </x:c>
      <x:c r="F5" s="53" t="n">
        <x:f>2*B5</x:f>
        <x:v>12.4</x:v>
      </x:c>
      <x:c r="G5" s="53" t="n">
        <x:f>PI()*POWER(B5,2)*C5</x:f>
        <x:v>2173.73078887185</x:v>
      </x:c>
      <x:c r="H5" s="53" t="n">
        <x:f>SQRT(G5)</x:f>
        <x:v>46.623285908136616</x:v>
      </x:c>
      <x:c r="I5" s="54" t="n">
        <x:f>ABS(D5-$K$1)</x:f>
        <x:v>2.3</x:v>
      </x:c>
      <x:c r="T5" s="63" t="n">
        <x:f>T1*EXP(T2*T3)</x:f>
        <x:v>182211.88003905088</x:v>
      </x:c>
      <x:c r="X5" s="67" t="n">
        <x:f>PI()*B5*$Y$1/180</x:f>
        <x:v>6.492624817418905</x:v>
      </x:c>
      <x:c r="Z5" s="67" t="n">
        <x:f>B5*RADIANS($Y$1)</x:f>
        <x:v>6.492624817418905</x:v>
      </x:c>
      <x:c r="AA5" s="63" t="n">
        <x:f>AVERAGE(D2:D8)</x:f>
        <x:v>3.114285714285714</x:v>
      </x:c>
    </x:row>
    <x:row r="6">
      <x:c r="A6" s="41" t="n">
        <x:v>5</x:v>
      </x:c>
      <x:c r="B6" s="53" t="n">
        <x:v>20.1</x:v>
      </x:c>
      <x:c r="C6" s="53" t="n">
        <x:v>55</x:v>
      </x:c>
      <x:c r="D6" s="53" t="n">
        <x:v>6.5</x:v>
      </x:c>
      <x:c r="E6" s="53" t="n">
        <x:v>320</x:v>
      </x:c>
      <x:c r="F6" s="53" t="n">
        <x:f>2*B6</x:f>
        <x:v>40.2</x:v>
      </x:c>
      <x:c r="G6" s="53" t="n">
        <x:f>PI()*POWER(B6,2)*C6</x:f>
        <x:v>69807.91663872468</x:v>
      </x:c>
      <x:c r="H6" s="53" t="n">
        <x:f>SQRT(G6)</x:f>
        <x:v>264.21187830740064</x:v>
      </x:c>
      <x:c r="I6" s="54" t="n">
        <x:f>ABS(D6-$K$1)</x:f>
        <x:v>3.5</x:v>
      </x:c>
      <x:c r="T6" s="65" t="n">
        <x:f>72/(T2*100)</x:f>
        <x:v>6</x:v>
      </x:c>
      <x:c r="X6" s="67" t="n">
        <x:f>PI()*B6*$Y$1/180</x:f>
        <x:v>21.048670779051616</x:v>
      </x:c>
      <x:c r="Z6" s="67" t="n">
        <x:f>B6*RADIANS($Y$1)</x:f>
        <x:v>21.048670779051616</x:v>
      </x:c>
      <x:c r="AA6" s="63" t="n">
        <x:f>MAX(D2:D8)</x:f>
        <x:v>6.5</x:v>
      </x:c>
    </x:row>
    <x:row r="7">
      <x:c r="A7" s="41" t="n">
        <x:v>6</x:v>
      </x:c>
      <x:c r="B7" s="53" t="n">
        <x:v>10.4</x:v>
      </x:c>
      <x:c r="C7" s="53" t="n">
        <x:v>28</x:v>
      </x:c>
      <x:c r="D7" s="53" t="n">
        <x:v>1.9</x:v>
      </x:c>
      <x:c r="E7" s="53" t="n">
        <x:v>130</x:v>
      </x:c>
      <x:c r="F7" s="53" t="n">
        <x:f>2*B7</x:f>
        <x:v>20.8</x:v>
      </x:c>
      <x:c r="G7" s="53" t="n">
        <x:f>PI()*POWER(B7,2)*C7</x:f>
        <x:v>9514.250519543617</x:v>
      </x:c>
      <x:c r="H7" s="53" t="n">
        <x:f>SQRT(G7)</x:f>
        <x:v>97.54101967656283</x:v>
      </x:c>
      <x:c r="I7" s="54" t="n">
        <x:f>ABS(D7-$K$1)</x:f>
        <x:v>1.1</x:v>
      </x:c>
      <x:c r="T7" s="65" t="n">
        <x:f>LN(2)/LN(1+T2)</x:f>
        <x:v>6.1162553741996994</x:v>
      </x:c>
      <x:c r="X7" s="67" t="n">
        <x:f>PI()*B7*$Y$1/180</x:f>
        <x:v>10.890854532444616</x:v>
      </x:c>
      <x:c r="Z7" s="67" t="n">
        <x:f>B7*RADIANS($Y$1)</x:f>
        <x:v>10.890854532444616</x:v>
      </x:c>
      <x:c r="AA7" s="63" t="n">
        <x:f>MIN(D2:D8)</x:f>
        <x:v>0.7</x:v>
      </x:c>
    </x:row>
    <x:row r="8">
      <x:c r="A8" s="44" t="n">
        <x:v>7</x:v>
      </x:c>
      <x:c r="B8" s="55" t="n">
        <x:v>18.9</x:v>
      </x:c>
      <x:c r="C8" s="55" t="n">
        <x:v>48</x:v>
      </x:c>
      <x:c r="D8" s="55" t="n">
        <x:v>5.2</x:v>
      </x:c>
      <x:c r="E8" s="55" t="n">
        <x:v>275</x:v>
      </x:c>
      <x:c r="F8" s="55" t="n">
        <x:f>2*B8</x:f>
        <x:v>37.8</x:v>
      </x:c>
      <x:c r="G8" s="55" t="n">
        <x:f>PI()*POWER(B8,2)*C8</x:f>
        <x:v>53865.99896586288</x:v>
      </x:c>
      <x:c r="H8" s="55" t="n">
        <x:f>SQRT(G8)</x:f>
        <x:v>232.0904973622636</x:v>
      </x:c>
      <x:c r="I8" s="56" t="n">
        <x:f>ABS(D8-$K$1)</x:f>
        <x:v>2.2</x:v>
      </x:c>
      <x:c r="X8" s="67" t="n">
        <x:f>PI()*B8*$Y$1/180</x:f>
        <x:v>19.792033717615695</x:v>
      </x:c>
      <x:c r="Z8" s="67" t="n">
        <x:f>B8*RADIANS($Y$1)</x:f>
        <x:v>19.792033717615695</x:v>
      </x:c>
    </x:row>
    <x:row r="10">
      <x:c r="Z10" s="69" t="n">
        <x:f>DEGREES(PI()/3)</x:f>
        <x:v>59.99999999999999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</x:cols>
  <x:sheetData>
    <x:row r="1">
      <x:c r="A1" s="73" t="n">
        <x:v>500000</x:v>
      </x:c>
      <x:c r="B1" s="74" t="str">
        <x:v>Сумма кредита</x:v>
      </x:c>
    </x:row>
    <x:row r="2">
      <x:c r="A2" s="75" t="n">
        <x:v>0.18</x:v>
      </x:c>
      <x:c r="B2" s="17" t="str">
        <x:v>Годовая ставка</x:v>
      </x:c>
    </x:row>
    <x:row r="3">
      <x:c r="A3" s="18" t="n">
        <x:v>3</x:v>
      </x:c>
      <x:c r="B3" s="20" t="str">
        <x:v>Срок (лет)</x:v>
      </x:c>
    </x:row>
  </x:sheetData>
  <x:pageMargins left="0.7" right="0.7" top="0.75" bottom="0.75" header="0.3" footer="0.3"/>
</x:worksheet>
</file>